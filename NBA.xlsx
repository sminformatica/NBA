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vaedu-my.sharepoint.com/personal/s_mascarellmartine_edu_gva_es/Documents/Trading/NBA/"/>
    </mc:Choice>
  </mc:AlternateContent>
  <xr:revisionPtr revIDLastSave="131" documentId="11_243BFEB548E65E93DAB67BCAE99B65CEE2174E54" xr6:coauthVersionLast="47" xr6:coauthVersionMax="47" xr10:uidLastSave="{511405D7-4436-467D-8D74-75C17B89C2C2}"/>
  <bookViews>
    <workbookView xWindow="-110" yWindow="-110" windowWidth="19420" windowHeight="10300" xr2:uid="{00000000-000D-0000-FFFF-FFFF00000000}"/>
  </bookViews>
  <sheets>
    <sheet name="data" sheetId="1" r:id="rId1"/>
    <sheet name="Hoja1" sheetId="4" r:id="rId2"/>
    <sheet name="07032024" sheetId="2" r:id="rId3"/>
    <sheet name="06032024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J12" i="1"/>
  <c r="K12" i="1" s="1"/>
  <c r="L12" i="1"/>
  <c r="M12" i="1"/>
  <c r="N12" i="1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5" i="1"/>
  <c r="C2" i="1"/>
  <c r="C3" i="1"/>
  <c r="I2" i="1"/>
  <c r="I3" i="1"/>
  <c r="I4" i="1"/>
  <c r="I5" i="1"/>
  <c r="I6" i="1"/>
  <c r="I7" i="1"/>
  <c r="I8" i="1"/>
  <c r="I9" i="1"/>
  <c r="I10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J2" i="1"/>
  <c r="J3" i="1"/>
  <c r="J4" i="1"/>
  <c r="K4" i="1" s="1"/>
  <c r="J5" i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M31" i="1"/>
  <c r="N31" i="1" s="1"/>
  <c r="L31" i="1"/>
  <c r="J31" i="1"/>
  <c r="K31" i="1" s="1"/>
  <c r="H31" i="1"/>
  <c r="M30" i="1"/>
  <c r="N30" i="1" s="1"/>
  <c r="L30" i="1"/>
  <c r="J30" i="1"/>
  <c r="K30" i="1" s="1"/>
  <c r="H30" i="1"/>
  <c r="M29" i="1"/>
  <c r="N29" i="1" s="1"/>
  <c r="L29" i="1"/>
  <c r="J29" i="1"/>
  <c r="K29" i="1" s="1"/>
  <c r="H29" i="1"/>
  <c r="M28" i="1"/>
  <c r="N28" i="1" s="1"/>
  <c r="L28" i="1"/>
  <c r="J28" i="1"/>
  <c r="K28" i="1" s="1"/>
  <c r="H28" i="1"/>
  <c r="M27" i="1"/>
  <c r="N27" i="1" s="1"/>
  <c r="L27" i="1"/>
  <c r="J27" i="1"/>
  <c r="K27" i="1" s="1"/>
  <c r="H27" i="1"/>
  <c r="M26" i="1"/>
  <c r="N26" i="1" s="1"/>
  <c r="L26" i="1"/>
  <c r="J26" i="1"/>
  <c r="K26" i="1" s="1"/>
  <c r="H26" i="1"/>
  <c r="M25" i="1"/>
  <c r="N25" i="1" s="1"/>
  <c r="L25" i="1"/>
  <c r="J25" i="1"/>
  <c r="K25" i="1" s="1"/>
  <c r="H25" i="1"/>
  <c r="M24" i="1"/>
  <c r="N24" i="1" s="1"/>
  <c r="L24" i="1"/>
  <c r="J24" i="1"/>
  <c r="K24" i="1" s="1"/>
  <c r="H24" i="1"/>
  <c r="M23" i="1"/>
  <c r="N23" i="1" s="1"/>
  <c r="L23" i="1"/>
  <c r="J23" i="1"/>
  <c r="K23" i="1" s="1"/>
  <c r="H23" i="1"/>
  <c r="M22" i="1"/>
  <c r="N22" i="1" s="1"/>
  <c r="L22" i="1"/>
  <c r="J22" i="1"/>
  <c r="K22" i="1" s="1"/>
  <c r="H22" i="1"/>
  <c r="M21" i="1"/>
  <c r="N21" i="1" s="1"/>
  <c r="L21" i="1"/>
  <c r="J21" i="1"/>
  <c r="K21" i="1" s="1"/>
  <c r="H21" i="1"/>
  <c r="M20" i="1"/>
  <c r="N20" i="1" s="1"/>
  <c r="L20" i="1"/>
  <c r="J20" i="1"/>
  <c r="K20" i="1" s="1"/>
  <c r="H20" i="1"/>
  <c r="M19" i="1"/>
  <c r="N19" i="1" s="1"/>
  <c r="L19" i="1"/>
  <c r="J19" i="1"/>
  <c r="K19" i="1" s="1"/>
  <c r="H19" i="1"/>
  <c r="M18" i="1"/>
  <c r="N18" i="1" s="1"/>
  <c r="L18" i="1"/>
  <c r="J18" i="1"/>
  <c r="K18" i="1" s="1"/>
  <c r="H18" i="1"/>
  <c r="M17" i="1"/>
  <c r="N17" i="1" s="1"/>
  <c r="L17" i="1"/>
  <c r="J17" i="1"/>
  <c r="K17" i="1" s="1"/>
  <c r="H17" i="1"/>
  <c r="M16" i="1"/>
  <c r="N16" i="1" s="1"/>
  <c r="L16" i="1"/>
  <c r="J16" i="1"/>
  <c r="K16" i="1" s="1"/>
  <c r="H16" i="1"/>
  <c r="M15" i="1"/>
  <c r="N15" i="1" s="1"/>
  <c r="L15" i="1"/>
  <c r="J15" i="1"/>
  <c r="K15" i="1" s="1"/>
  <c r="H15" i="1"/>
  <c r="M14" i="1"/>
  <c r="N14" i="1" s="1"/>
  <c r="L14" i="1"/>
  <c r="J14" i="1"/>
  <c r="K14" i="1" s="1"/>
  <c r="H14" i="1"/>
  <c r="M13" i="1"/>
  <c r="L13" i="1"/>
  <c r="J13" i="1"/>
  <c r="H13" i="1"/>
  <c r="H12" i="1"/>
  <c r="M11" i="1"/>
  <c r="N11" i="1" s="1"/>
  <c r="L11" i="1"/>
  <c r="I11" i="1"/>
  <c r="H11" i="1"/>
  <c r="M10" i="1"/>
  <c r="N10" i="1" s="1"/>
  <c r="L10" i="1"/>
  <c r="H10" i="1"/>
  <c r="M9" i="1"/>
  <c r="N9" i="1" s="1"/>
  <c r="L9" i="1"/>
  <c r="H9" i="1"/>
  <c r="M8" i="1"/>
  <c r="N8" i="1" s="1"/>
  <c r="L8" i="1"/>
  <c r="H8" i="1"/>
  <c r="M7" i="1"/>
  <c r="N7" i="1" s="1"/>
  <c r="L7" i="1"/>
  <c r="H7" i="1"/>
  <c r="M6" i="1"/>
  <c r="N6" i="1" s="1"/>
  <c r="L6" i="1"/>
  <c r="H6" i="1"/>
  <c r="M5" i="1"/>
  <c r="L5" i="1"/>
  <c r="H5" i="1"/>
  <c r="M4" i="1"/>
  <c r="N4" i="1" s="1"/>
  <c r="L4" i="1"/>
  <c r="H4" i="1"/>
  <c r="C4" i="1"/>
  <c r="M3" i="1"/>
  <c r="L3" i="1"/>
  <c r="H3" i="1"/>
  <c r="M2" i="1"/>
  <c r="N2" i="1" s="1"/>
  <c r="L2" i="1"/>
  <c r="H2" i="1"/>
  <c r="N13" i="1" l="1"/>
  <c r="K13" i="1"/>
  <c r="K2" i="1"/>
  <c r="K5" i="1"/>
  <c r="N5" i="1"/>
  <c r="N3" i="1"/>
  <c r="K3" i="1"/>
</calcChain>
</file>

<file path=xl/sharedStrings.xml><?xml version="1.0" encoding="utf-8"?>
<sst xmlns="http://schemas.openxmlformats.org/spreadsheetml/2006/main" count="275" uniqueCount="196">
  <si>
    <t>Ult.favor</t>
  </si>
  <si>
    <t>Ult.contra</t>
  </si>
  <si>
    <t>TOTAL</t>
  </si>
  <si>
    <t>GAME</t>
  </si>
  <si>
    <t>TEAM</t>
  </si>
  <si>
    <t>PPG</t>
  </si>
  <si>
    <t>oPPG</t>
  </si>
  <si>
    <t>TotalMedia</t>
  </si>
  <si>
    <t>Favor</t>
  </si>
  <si>
    <t>Contra</t>
  </si>
  <si>
    <t>min.over</t>
  </si>
  <si>
    <t>max.under</t>
  </si>
  <si>
    <t>Boston Celtics</t>
  </si>
  <si>
    <t>Minnesota Timberwolves</t>
  </si>
  <si>
    <t>Oklahoma City Thunder</t>
  </si>
  <si>
    <t>Denver Nuggets</t>
  </si>
  <si>
    <t>Milwaukee Bucks</t>
  </si>
  <si>
    <t>Cleveland Cavaliers</t>
  </si>
  <si>
    <t>New Orleans Pelicans</t>
  </si>
  <si>
    <t>Orlando Magic</t>
  </si>
  <si>
    <t>New York Knicks</t>
  </si>
  <si>
    <t>Phoenix Suns</t>
  </si>
  <si>
    <t>Miami Heat</t>
  </si>
  <si>
    <t>Sacramento Kings</t>
  </si>
  <si>
    <t>Philadelphia 76ers</t>
  </si>
  <si>
    <t>Indiana Pacers</t>
  </si>
  <si>
    <t>Dallas Mavericks</t>
  </si>
  <si>
    <t>Golden State Warriors</t>
  </si>
  <si>
    <t>Los Angeles Lakers</t>
  </si>
  <si>
    <t>Chicago Bulls</t>
  </si>
  <si>
    <t>Atlanta Hawks</t>
  </si>
  <si>
    <t>Utah Jazz</t>
  </si>
  <si>
    <t>Houston Rockets</t>
  </si>
  <si>
    <t>a</t>
  </si>
  <si>
    <t>Brooklyn Nets</t>
  </si>
  <si>
    <t>Toronto Raptors</t>
  </si>
  <si>
    <t>Memphis Grizzlies</t>
  </si>
  <si>
    <t>Portland Trail Blazers</t>
  </si>
  <si>
    <t>Charlotte Hornets</t>
  </si>
  <si>
    <t>h</t>
  </si>
  <si>
    <t>Detroit Pistons</t>
  </si>
  <si>
    <t>Washington Wizards</t>
  </si>
  <si>
    <t>Últ.a favor</t>
  </si>
  <si>
    <t>Últ. en contra</t>
  </si>
  <si>
    <t>Últ. total</t>
  </si>
  <si>
    <t>H/A</t>
  </si>
  <si>
    <t>Estimado a favor</t>
  </si>
  <si>
    <t>Estimado en contra</t>
  </si>
  <si>
    <t>Totales mínimo</t>
  </si>
  <si>
    <t>P</t>
  </si>
  <si>
    <t>R</t>
  </si>
  <si>
    <t>G</t>
  </si>
  <si>
    <t>* --OKCOklahoma City Thunder</t>
  </si>
  <si>
    <t>y --SASan Antonio Spurs</t>
  </si>
  <si>
    <t>z --DETDetroit Pistons</t>
  </si>
  <si>
    <t>y --BOSBoston Celtics</t>
  </si>
  <si>
    <t>x --DENDenver Nuggets</t>
  </si>
  <si>
    <t>y --LALLos Angeles Lakers</t>
  </si>
  <si>
    <t>x --NYNew York Knicks</t>
  </si>
  <si>
    <t>x --CLECleveland Cavaliers</t>
  </si>
  <si>
    <t>x --HOUHouston Rockets</t>
  </si>
  <si>
    <t>x --MINMinnesota Timberwolves</t>
  </si>
  <si>
    <t>y --ATLAtlanta Hawks</t>
  </si>
  <si>
    <t>x --TORToronto Raptors</t>
  </si>
  <si>
    <t>xp --PHIPhiladelphia 76ers</t>
  </si>
  <si>
    <t>xp --ORLOrlando Magic</t>
  </si>
  <si>
    <t>xp --PHXPhoenix Suns</t>
  </si>
  <si>
    <t>pb --CHACharlotte Hornets</t>
  </si>
  <si>
    <t>pb --MIAMiami Heat</t>
  </si>
  <si>
    <t>xp --PORPortland Trail Blazers</t>
  </si>
  <si>
    <t>pb --LACLA Clippers</t>
  </si>
  <si>
    <t>pb --GSGolden State Warriors</t>
  </si>
  <si>
    <t>e --MILMilwaukee Bucks</t>
  </si>
  <si>
    <t>e --CHIChicago Bulls</t>
  </si>
  <si>
    <t>e --NONew Orleans Pelicans</t>
  </si>
  <si>
    <t>e --DALDallas Mavericks</t>
  </si>
  <si>
    <t>e --MEMMemphis Grizzlies</t>
  </si>
  <si>
    <t>e --SACSacramento Kings</t>
  </si>
  <si>
    <t>e --UTAHUtah Jazz</t>
  </si>
  <si>
    <t>e --BKNBrooklyn Nets</t>
  </si>
  <si>
    <t>e --INDIndiana Pacers</t>
  </si>
  <si>
    <t>e --WSHWashington Wizards</t>
  </si>
  <si>
    <t xml:space="preserve">PCT </t>
  </si>
  <si>
    <t>JD</t>
  </si>
  <si>
    <t>LOCAL</t>
  </si>
  <si>
    <t>VIS</t>
  </si>
  <si>
    <t>DIV</t>
  </si>
  <si>
    <t>CONF</t>
  </si>
  <si>
    <t>PPA</t>
  </si>
  <si>
    <t>PPP</t>
  </si>
  <si>
    <t>DIFP</t>
  </si>
  <si>
    <t>U10</t>
  </si>
  <si>
    <t>.780</t>
  </si>
  <si>
    <t>-</t>
  </si>
  <si>
    <t>34-7</t>
  </si>
  <si>
    <t>41-11</t>
  </si>
  <si>
    <t>+11.1</t>
  </si>
  <si>
    <t>P2</t>
  </si>
  <si>
    <t>.756</t>
  </si>
  <si>
    <t>32-8</t>
  </si>
  <si>
    <t>36-16</t>
  </si>
  <si>
    <t>+8.3</t>
  </si>
  <si>
    <t>P1</t>
  </si>
  <si>
    <t>.732</t>
  </si>
  <si>
    <t>31-9</t>
  </si>
  <si>
    <t>28-13</t>
  </si>
  <si>
    <t>39-13</t>
  </si>
  <si>
    <t>+8.2</t>
  </si>
  <si>
    <t>G3</t>
  </si>
  <si>
    <t>.683</t>
  </si>
  <si>
    <t>26-15</t>
  </si>
  <si>
    <t>+7.7</t>
  </si>
  <si>
    <t>G2</t>
  </si>
  <si>
    <t>.659</t>
  </si>
  <si>
    <t>+5.2</t>
  </si>
  <si>
    <t>G12</t>
  </si>
  <si>
    <t>10-0</t>
  </si>
  <si>
    <t>.646</t>
  </si>
  <si>
    <t>25-16</t>
  </si>
  <si>
    <t>33-19</t>
  </si>
  <si>
    <t>+1.7</t>
  </si>
  <si>
    <t>22-19</t>
  </si>
  <si>
    <t>35-17</t>
  </si>
  <si>
    <t>+6.4</t>
  </si>
  <si>
    <t>.634</t>
  </si>
  <si>
    <t>27-14</t>
  </si>
  <si>
    <t>+4.1</t>
  </si>
  <si>
    <t>G1</t>
  </si>
  <si>
    <t>29-23</t>
  </si>
  <si>
    <t>.598</t>
  </si>
  <si>
    <t>23-18</t>
  </si>
  <si>
    <t>31-21</t>
  </si>
  <si>
    <t>+3.4</t>
  </si>
  <si>
    <t>.561</t>
  </si>
  <si>
    <t>24-17</t>
  </si>
  <si>
    <t>27-25</t>
  </si>
  <si>
    <t>+2.5</t>
  </si>
  <si>
    <t>+2.8</t>
  </si>
  <si>
    <t>.549</t>
  </si>
  <si>
    <t>-0.2</t>
  </si>
  <si>
    <t>25-15</t>
  </si>
  <si>
    <t>19-20</t>
  </si>
  <si>
    <t>26-26</t>
  </si>
  <si>
    <t>+0.6</t>
  </si>
  <si>
    <t>20-21</t>
  </si>
  <si>
    <t>+1.5</t>
  </si>
  <si>
    <t>.537</t>
  </si>
  <si>
    <t>21-20</t>
  </si>
  <si>
    <t>+4.8</t>
  </si>
  <si>
    <t>.524</t>
  </si>
  <si>
    <t>17-24</t>
  </si>
  <si>
    <t>+2.4</t>
  </si>
  <si>
    <t>.512</t>
  </si>
  <si>
    <t>18-23</t>
  </si>
  <si>
    <t>-0.3</t>
  </si>
  <si>
    <t>19-22</t>
  </si>
  <si>
    <t>25-27</t>
  </si>
  <si>
    <t>+1.2</t>
  </si>
  <si>
    <t>.451</t>
  </si>
  <si>
    <t>15-26</t>
  </si>
  <si>
    <t>24-28</t>
  </si>
  <si>
    <t>-0.6</t>
  </si>
  <si>
    <t>P3</t>
  </si>
  <si>
    <t>.390</t>
  </si>
  <si>
    <t>13-28</t>
  </si>
  <si>
    <t>21-31</t>
  </si>
  <si>
    <t>-6.2</t>
  </si>
  <si>
    <t>.378</t>
  </si>
  <si>
    <t>19-32</t>
  </si>
  <si>
    <t>-5.2</t>
  </si>
  <si>
    <t>.317</t>
  </si>
  <si>
    <t>17-34</t>
  </si>
  <si>
    <t>-4.5</t>
  </si>
  <si>
    <t>16-25</t>
  </si>
  <si>
    <t>14-37</t>
  </si>
  <si>
    <t>-5.5</t>
  </si>
  <si>
    <t>.305</t>
  </si>
  <si>
    <t>13-27</t>
  </si>
  <si>
    <t>19-33</t>
  </si>
  <si>
    <t>-6.0</t>
  </si>
  <si>
    <t>P8</t>
  </si>
  <si>
    <t>.268</t>
  </si>
  <si>
    <t>14-38</t>
  </si>
  <si>
    <t>-10.0</t>
  </si>
  <si>
    <t>14-27</t>
  </si>
  <si>
    <t>-8.4</t>
  </si>
  <si>
    <t>.244</t>
  </si>
  <si>
    <t>.232</t>
  </si>
  <si>
    <t>15-37</t>
  </si>
  <si>
    <t>-8.0</t>
  </si>
  <si>
    <t>.207</t>
  </si>
  <si>
    <t>-12.0</t>
  </si>
  <si>
    <t>P10</t>
  </si>
  <si>
    <t>0-10</t>
  </si>
  <si>
    <t>an Antonio Spurs</t>
  </si>
  <si>
    <t>Clippers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</si>
</sst>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0"/>
      <color rgb="FF000000"/>
      <name val="Arial"/>
      <scheme val="minor"/>
    </font>
    <font>
      <sz val="8"/>
      <color theme="1"/>
      <name val="Arial"/>
    </font>
    <font>
      <sz val="8"/>
      <color theme="1"/>
      <name val="&quot;Liberation Sans&quot;"/>
    </font>
    <font>
      <sz val="10"/>
      <color theme="1"/>
      <name val="Arial"/>
      <scheme val="minor"/>
    </font>
    <font>
      <sz val="10"/>
      <color theme="1"/>
      <name val="&quot;Calibri&quot;"/>
    </font>
    <font>
      <sz val="10"/>
      <color rgb="FF000000"/>
      <name val="&quot;Calibri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3" fillId="0" borderId="0" xfId="0" applyNumberFormat="1" applyFont="1"/>
    <xf numFmtId="4" fontId="3" fillId="0" borderId="0" xfId="0" applyNumberFormat="1" applyFon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1"/>
  <sheetViews>
    <sheetView tabSelected="1" topLeftCell="B1" zoomScale="120" zoomScaleNormal="120" workbookViewId="0">
      <selection activeCell="J5" sqref="J5"/>
    </sheetView>
  </sheetViews>
  <sheetFormatPr baseColWidth="10" defaultColWidth="12.54296875" defaultRowHeight="15.75" customHeight="1"/>
  <cols>
    <col min="1" max="1" width="6.81640625" bestFit="1" customWidth="1"/>
    <col min="2" max="2" width="7.54296875" bestFit="1" customWidth="1"/>
    <col min="3" max="3" width="5.1796875" customWidth="1"/>
    <col min="11" max="11" width="10.7265625" customWidth="1"/>
  </cols>
  <sheetData>
    <row r="1" spans="1:1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N1" s="3" t="s">
        <v>11</v>
      </c>
    </row>
    <row r="2" spans="1:14" ht="15.75" customHeight="1">
      <c r="A2" s="4"/>
      <c r="B2" s="4"/>
      <c r="C2" s="4">
        <f>SUM(A2:B2)</f>
        <v>0</v>
      </c>
      <c r="D2" s="4"/>
      <c r="E2" t="s">
        <v>14</v>
      </c>
      <c r="F2">
        <v>119</v>
      </c>
      <c r="G2">
        <v>107.9</v>
      </c>
      <c r="H2" s="6">
        <f t="shared" ref="H2:H31" si="0">SUM(F2:G2)</f>
        <v>226.9</v>
      </c>
      <c r="I2" s="6" t="str">
        <f>IF($D2="h",$F2-AVEDEV($F2,$A2,VLOOKUP("a",$D$2:$G$31,4)),IF($D2="a",$F2-AVEDEV($F2,$A2,VLOOKUP("h",$D$2:$G$31,4)),""))</f>
        <v/>
      </c>
      <c r="J2" s="6" t="str">
        <f>IF($D2="h",$G2-AVEDEV($G2,$B2,VLOOKUP("a",$D$2:$G$31,3)),IF($D2="a",$G2-AVEDEV($G2,$B2,VLOOKUP("h",$D$2:$G$31,3)),""))</f>
        <v/>
      </c>
      <c r="K2" s="3" t="str">
        <f t="shared" ref="K2:K31" si="1">IF(ISNUMBER(J2),SUM(I2:J2),"")</f>
        <v/>
      </c>
      <c r="L2" s="6" t="str">
        <f>IF($D2="h",$F2+AVEDEV($F2,$A2,VLOOKUP("a",$D$2:$G$31,4)),IF($D2="a",$F2+AVEDEV($F2,$A2,VLOOKUP("h",$D$2:$G$31,4)),""))</f>
        <v/>
      </c>
      <c r="M2" s="6" t="str">
        <f>IF($D2="h",$G2+AVEDEV($G2,$B2,VLOOKUP("a",$D$2:$G$31,3)),IF($D2="a",$G2+AVEDEV($G2,$B2,VLOOKUP("h",$D$2:$G$31,3)),""))</f>
        <v/>
      </c>
      <c r="N2" s="3" t="str">
        <f t="shared" ref="N2:N31" si="2">IF(ISNUMBER(M2),SUM(L2:M2),"")</f>
        <v/>
      </c>
    </row>
    <row r="3" spans="1:14" ht="15.75" customHeight="1">
      <c r="A3" s="4"/>
      <c r="B3" s="4"/>
      <c r="C3" s="4">
        <f>SUM(A3:B3)</f>
        <v>0</v>
      </c>
      <c r="D3" s="4"/>
      <c r="E3" t="s">
        <v>194</v>
      </c>
      <c r="F3">
        <v>119.8</v>
      </c>
      <c r="G3">
        <v>111.5</v>
      </c>
      <c r="H3" s="6">
        <f t="shared" si="0"/>
        <v>231.3</v>
      </c>
      <c r="I3" s="6" t="str">
        <f>IF($D3="h",$F3-AVEDEV($F3,$A3,VLOOKUP("a",$D$2:$G$31,4)),IF($D3="a",$F3-AVEDEV($F3,$A3,VLOOKUP("h",$D$2:$G$31,4)),""))</f>
        <v/>
      </c>
      <c r="J3" s="6" t="str">
        <f>IF($D3="h",$G3-AVEDEV($G3,$B3,VLOOKUP("a",$D$2:$G$31,3)),IF($D3="a",$G3-AVEDEV($G3,$B3,VLOOKUP("h",$D$2:$G$31,3)),""))</f>
        <v/>
      </c>
      <c r="K3" s="3" t="str">
        <f t="shared" si="1"/>
        <v/>
      </c>
      <c r="L3" s="6" t="str">
        <f>IF($D3="h",$F3+AVEDEV($F3,$A3,VLOOKUP("a",$D$2:$G$31,4)),IF($D3="a",$F3+AVEDEV($F3,$A3,VLOOKUP("h",$D$2:$G$31,4)),""))</f>
        <v/>
      </c>
      <c r="M3" s="6" t="str">
        <f>IF($D3="h",$G3+AVEDEV($G3,$B3,VLOOKUP("a",$D$2:$G$31,3)),IF($D3="a",$G3+AVEDEV($G3,$B3,VLOOKUP("h",$D$2:$G$31,3)),""))</f>
        <v/>
      </c>
      <c r="N3" s="3" t="str">
        <f t="shared" si="2"/>
        <v/>
      </c>
    </row>
    <row r="4" spans="1:14" ht="15.75" customHeight="1">
      <c r="A4" s="4"/>
      <c r="B4" s="4"/>
      <c r="C4" s="4">
        <f t="shared" ref="C4:C31" si="3">SUM(A4:B4)</f>
        <v>0</v>
      </c>
      <c r="D4" s="4" t="s">
        <v>39</v>
      </c>
      <c r="E4" t="s">
        <v>40</v>
      </c>
      <c r="F4">
        <v>117.8</v>
      </c>
      <c r="G4">
        <v>109.6</v>
      </c>
      <c r="H4" s="6">
        <f t="shared" si="0"/>
        <v>227.39999999999998</v>
      </c>
      <c r="I4" s="6" t="e">
        <f t="shared" ref="I4:I31" si="4">IF($D4="h",$F4-AVEDEV($F4,$A4,VLOOKUP("a",$D$2:$G$31,4)),IF($D4="a",$F4-AVEDEV($F4,$A4,VLOOKUP("h",$D$2:$G$31,4)),""))</f>
        <v>#N/A</v>
      </c>
      <c r="J4" s="6" t="e">
        <f t="shared" ref="J4:J31" si="5">IF($D4="h",$G4-AVEDEV($G4,$B4,VLOOKUP("a",$D$2:$G$31,3)),IF($D4="a",$G4-AVEDEV($G4,$B4,VLOOKUP("h",$D$2:$G$31,3)),""))</f>
        <v>#N/A</v>
      </c>
      <c r="K4" s="3" t="str">
        <f t="shared" si="1"/>
        <v/>
      </c>
      <c r="L4" s="6" t="e">
        <f t="shared" ref="L4:L31" si="6">IF($D4="h",$F4+AVEDEV($F4,$A4,VLOOKUP("a",$D$2:$G$31,4)),IF($D4="a",$F4+AVEDEV($F4,$A4,VLOOKUP("h",$D$2:$G$31,4)),""))</f>
        <v>#N/A</v>
      </c>
      <c r="M4" s="6" t="e">
        <f t="shared" ref="M4:M31" si="7">IF($D4="h",$G4+AVEDEV($G4,$B4,VLOOKUP("a",$D$2:$G$31,3)),IF($D4="a",$G4+AVEDEV($G4,$B4,VLOOKUP("h",$D$2:$G$31,3)),""))</f>
        <v>#N/A</v>
      </c>
      <c r="N4" s="3" t="str">
        <f t="shared" si="2"/>
        <v/>
      </c>
    </row>
    <row r="5" spans="1:14" ht="15.75" customHeight="1">
      <c r="A5" s="4"/>
      <c r="B5" s="4"/>
      <c r="C5" s="4">
        <f>SUM(A5:B5)</f>
        <v>0</v>
      </c>
      <c r="D5" s="4" t="s">
        <v>33</v>
      </c>
      <c r="E5" t="s">
        <v>12</v>
      </c>
      <c r="F5">
        <v>114.9</v>
      </c>
      <c r="G5">
        <v>107.2</v>
      </c>
      <c r="H5" s="6">
        <f t="shared" si="0"/>
        <v>222.10000000000002</v>
      </c>
      <c r="I5" s="6">
        <f>IF($D5="h",$F5-AVEDEV($F5,$A5,VLOOKUP("a",$D$2:$G$31,4)),IF($D5="a",$F5-AVEDEV($F5,$A5,VLOOKUP("h",$D$2:$G$31,4)),""))</f>
        <v>112.25</v>
      </c>
      <c r="J5" s="6">
        <f>IF($D5="h",$G5-AVEDEV($G5,$B5,VLOOKUP("a",$D$2:$G$31,3)),IF($D5="a",$G5-AVEDEV($G5,$B5,VLOOKUP("h",$D$2:$G$31,3)),""))</f>
        <v>101.9</v>
      </c>
      <c r="K5" s="3">
        <f t="shared" si="1"/>
        <v>214.15</v>
      </c>
      <c r="L5" s="6">
        <f>IF($D5="h",$F5+AVEDEV($F5,$A5,VLOOKUP("a",$D$2:$G$31,4)),IF($D5="a",$F5+AVEDEV($F5,$A5,VLOOKUP("h",$D$2:$G$31,4)),""))</f>
        <v>117.55000000000001</v>
      </c>
      <c r="M5" s="6">
        <f>IF($D5="h",$G5+AVEDEV($G5,$B5,VLOOKUP("a",$D$2:$G$31,3)),IF($D5="a",$G5+AVEDEV($G5,$B5,VLOOKUP("h",$D$2:$G$31,3)),""))</f>
        <v>112.5</v>
      </c>
      <c r="N5" s="3">
        <f t="shared" si="2"/>
        <v>230.05</v>
      </c>
    </row>
    <row r="6" spans="1:14" ht="15.75" customHeight="1">
      <c r="A6" s="4"/>
      <c r="B6" s="4"/>
      <c r="C6" s="4">
        <f t="shared" si="3"/>
        <v>0</v>
      </c>
      <c r="D6" s="4"/>
      <c r="E6" t="s">
        <v>15</v>
      </c>
      <c r="F6">
        <v>122.1</v>
      </c>
      <c r="G6">
        <v>116.9</v>
      </c>
      <c r="H6" s="6">
        <f t="shared" si="0"/>
        <v>239</v>
      </c>
      <c r="I6" s="6" t="str">
        <f t="shared" si="4"/>
        <v/>
      </c>
      <c r="J6" s="6" t="str">
        <f t="shared" si="5"/>
        <v/>
      </c>
      <c r="K6" s="3" t="str">
        <f t="shared" si="1"/>
        <v/>
      </c>
      <c r="L6" s="6" t="str">
        <f t="shared" si="6"/>
        <v/>
      </c>
      <c r="M6" s="6" t="str">
        <f t="shared" si="7"/>
        <v/>
      </c>
      <c r="N6" s="3" t="str">
        <f t="shared" si="2"/>
        <v/>
      </c>
    </row>
    <row r="7" spans="1:14" ht="15.75" customHeight="1">
      <c r="A7" s="4"/>
      <c r="B7" s="4"/>
      <c r="C7" s="4">
        <f t="shared" si="3"/>
        <v>0</v>
      </c>
      <c r="D7" s="4"/>
      <c r="E7" t="s">
        <v>28</v>
      </c>
      <c r="F7">
        <v>116.3</v>
      </c>
      <c r="G7">
        <v>114.6</v>
      </c>
      <c r="H7" s="6">
        <f t="shared" si="0"/>
        <v>230.89999999999998</v>
      </c>
      <c r="I7" s="6" t="str">
        <f t="shared" si="4"/>
        <v/>
      </c>
      <c r="J7" s="6" t="str">
        <f t="shared" si="5"/>
        <v/>
      </c>
      <c r="K7" s="3" t="str">
        <f t="shared" si="1"/>
        <v/>
      </c>
      <c r="L7" s="6" t="str">
        <f t="shared" si="6"/>
        <v/>
      </c>
      <c r="M7" s="6" t="str">
        <f t="shared" si="7"/>
        <v/>
      </c>
      <c r="N7" s="3" t="str">
        <f t="shared" si="2"/>
        <v/>
      </c>
    </row>
    <row r="8" spans="1:14" ht="15.75" customHeight="1">
      <c r="A8" s="4"/>
      <c r="B8" s="4"/>
      <c r="C8" s="4">
        <f t="shared" si="3"/>
        <v>0</v>
      </c>
      <c r="D8" s="4"/>
      <c r="E8" t="s">
        <v>20</v>
      </c>
      <c r="F8">
        <v>116.5</v>
      </c>
      <c r="G8">
        <v>110.1</v>
      </c>
      <c r="H8" s="6">
        <f t="shared" si="0"/>
        <v>226.6</v>
      </c>
      <c r="I8" s="6" t="str">
        <f t="shared" si="4"/>
        <v/>
      </c>
      <c r="J8" s="6" t="str">
        <f t="shared" si="5"/>
        <v/>
      </c>
      <c r="K8" s="3" t="str">
        <f t="shared" si="1"/>
        <v/>
      </c>
      <c r="L8" s="6" t="str">
        <f t="shared" si="6"/>
        <v/>
      </c>
      <c r="M8" s="6" t="str">
        <f t="shared" si="7"/>
        <v/>
      </c>
      <c r="N8" s="3" t="str">
        <f t="shared" si="2"/>
        <v/>
      </c>
    </row>
    <row r="9" spans="1:14" ht="15.75" customHeight="1">
      <c r="A9" s="4"/>
      <c r="B9" s="4"/>
      <c r="C9" s="4">
        <f t="shared" si="3"/>
        <v>0</v>
      </c>
      <c r="D9" s="4"/>
      <c r="E9" t="s">
        <v>17</v>
      </c>
      <c r="F9">
        <v>119.5</v>
      </c>
      <c r="G9">
        <v>115.4</v>
      </c>
      <c r="H9" s="6">
        <f t="shared" si="0"/>
        <v>234.9</v>
      </c>
      <c r="I9" s="6" t="str">
        <f t="shared" si="4"/>
        <v/>
      </c>
      <c r="J9" s="6" t="str">
        <f t="shared" si="5"/>
        <v/>
      </c>
      <c r="K9" s="3" t="str">
        <f t="shared" si="1"/>
        <v/>
      </c>
      <c r="L9" s="6" t="str">
        <f t="shared" si="6"/>
        <v/>
      </c>
      <c r="M9" s="6" t="str">
        <f t="shared" si="7"/>
        <v/>
      </c>
      <c r="N9" s="3" t="str">
        <f t="shared" si="2"/>
        <v/>
      </c>
    </row>
    <row r="10" spans="1:14" ht="15.75" customHeight="1">
      <c r="A10" s="5"/>
      <c r="B10" s="5"/>
      <c r="C10" s="4">
        <f t="shared" si="3"/>
        <v>0</v>
      </c>
      <c r="D10" s="4"/>
      <c r="E10" t="s">
        <v>32</v>
      </c>
      <c r="F10">
        <v>115.2</v>
      </c>
      <c r="G10">
        <v>110</v>
      </c>
      <c r="H10" s="6">
        <f t="shared" si="0"/>
        <v>225.2</v>
      </c>
      <c r="I10" s="6" t="str">
        <f t="shared" si="4"/>
        <v/>
      </c>
      <c r="J10" s="6" t="str">
        <f t="shared" si="5"/>
        <v/>
      </c>
      <c r="K10" s="3" t="str">
        <f t="shared" si="1"/>
        <v/>
      </c>
      <c r="L10" s="6" t="str">
        <f t="shared" si="6"/>
        <v/>
      </c>
      <c r="M10" s="6" t="str">
        <f t="shared" si="7"/>
        <v/>
      </c>
      <c r="N10" s="3" t="str">
        <f t="shared" si="2"/>
        <v/>
      </c>
    </row>
    <row r="11" spans="1:14" ht="15.75" customHeight="1">
      <c r="A11" s="4"/>
      <c r="B11" s="4"/>
      <c r="C11" s="4">
        <f t="shared" si="3"/>
        <v>0</v>
      </c>
      <c r="D11" s="4"/>
      <c r="E11" t="s">
        <v>13</v>
      </c>
      <c r="F11">
        <v>118</v>
      </c>
      <c r="G11">
        <v>114.6</v>
      </c>
      <c r="H11" s="6">
        <f t="shared" si="0"/>
        <v>232.6</v>
      </c>
      <c r="I11" s="6" t="str">
        <f t="shared" si="4"/>
        <v/>
      </c>
      <c r="J11" s="6" t="str">
        <f t="shared" si="5"/>
        <v/>
      </c>
      <c r="K11" s="3" t="str">
        <f t="shared" si="1"/>
        <v/>
      </c>
      <c r="L11" s="6" t="str">
        <f t="shared" si="6"/>
        <v/>
      </c>
      <c r="M11" s="6" t="str">
        <f t="shared" si="7"/>
        <v/>
      </c>
      <c r="N11" s="3" t="str">
        <f t="shared" si="2"/>
        <v/>
      </c>
    </row>
    <row r="12" spans="1:14" ht="15.75" customHeight="1">
      <c r="A12" s="4">
        <v>100</v>
      </c>
      <c r="B12" s="4">
        <v>100</v>
      </c>
      <c r="C12" s="4">
        <f t="shared" si="3"/>
        <v>200</v>
      </c>
      <c r="D12" s="4"/>
      <c r="E12" t="s">
        <v>30</v>
      </c>
      <c r="F12">
        <v>118.5</v>
      </c>
      <c r="G12">
        <v>116</v>
      </c>
      <c r="H12" s="6">
        <f t="shared" si="0"/>
        <v>234.5</v>
      </c>
      <c r="I12" s="6" t="str">
        <f t="shared" si="4"/>
        <v/>
      </c>
      <c r="J12" s="6" t="str">
        <f t="shared" si="5"/>
        <v/>
      </c>
      <c r="K12" s="3" t="str">
        <f t="shared" ref="K12" si="8">IF(ISNUMBER(J12),SUM(I12:J12),"")</f>
        <v/>
      </c>
      <c r="L12" s="6" t="str">
        <f t="shared" si="6"/>
        <v/>
      </c>
      <c r="M12" s="6" t="str">
        <f t="shared" si="7"/>
        <v/>
      </c>
      <c r="N12" s="3" t="str">
        <f t="shared" ref="N12" si="9">IF(ISNUMBER(M12),SUM(L12:M12),"")</f>
        <v/>
      </c>
    </row>
    <row r="13" spans="1:14" ht="15.75" customHeight="1">
      <c r="A13" s="4">
        <v>100</v>
      </c>
      <c r="B13" s="4">
        <v>100</v>
      </c>
      <c r="C13" s="4">
        <f t="shared" si="3"/>
        <v>200</v>
      </c>
      <c r="D13" s="4"/>
      <c r="E13" t="s">
        <v>35</v>
      </c>
      <c r="F13">
        <v>114.6</v>
      </c>
      <c r="G13">
        <v>111.8</v>
      </c>
      <c r="H13" s="6">
        <f t="shared" si="0"/>
        <v>226.39999999999998</v>
      </c>
      <c r="I13" s="6" t="str">
        <f t="shared" si="4"/>
        <v/>
      </c>
      <c r="J13" s="6" t="str">
        <f t="shared" si="5"/>
        <v/>
      </c>
      <c r="K13" s="3" t="str">
        <f t="shared" si="1"/>
        <v/>
      </c>
      <c r="L13" s="6" t="str">
        <f t="shared" si="6"/>
        <v/>
      </c>
      <c r="M13" s="6" t="str">
        <f t="shared" si="7"/>
        <v/>
      </c>
      <c r="N13" s="3" t="str">
        <f t="shared" si="2"/>
        <v/>
      </c>
    </row>
    <row r="14" spans="1:14" ht="15.75" customHeight="1">
      <c r="A14" s="4"/>
      <c r="B14" s="4"/>
      <c r="C14" s="4">
        <f t="shared" si="3"/>
        <v>0</v>
      </c>
      <c r="D14" s="4"/>
      <c r="E14" t="s">
        <v>24</v>
      </c>
      <c r="F14">
        <v>115.9</v>
      </c>
      <c r="G14">
        <v>116.1</v>
      </c>
      <c r="H14" s="6">
        <f t="shared" si="0"/>
        <v>232</v>
      </c>
      <c r="I14" s="6" t="str">
        <f t="shared" si="4"/>
        <v/>
      </c>
      <c r="J14" s="6" t="str">
        <f t="shared" si="5"/>
        <v/>
      </c>
      <c r="K14" s="3" t="str">
        <f t="shared" si="1"/>
        <v/>
      </c>
      <c r="L14" s="6" t="str">
        <f t="shared" si="6"/>
        <v/>
      </c>
      <c r="M14" s="6" t="str">
        <f t="shared" si="7"/>
        <v/>
      </c>
      <c r="N14" s="3" t="str">
        <f t="shared" si="2"/>
        <v/>
      </c>
    </row>
    <row r="15" spans="1:14" ht="15.75" customHeight="1">
      <c r="A15" s="4"/>
      <c r="B15" s="4"/>
      <c r="C15" s="4">
        <f t="shared" si="3"/>
        <v>0</v>
      </c>
      <c r="D15" s="4"/>
      <c r="E15" t="s">
        <v>19</v>
      </c>
      <c r="F15">
        <v>115.7</v>
      </c>
      <c r="G15">
        <v>115.1</v>
      </c>
      <c r="H15" s="6">
        <f t="shared" si="0"/>
        <v>230.8</v>
      </c>
      <c r="I15" s="6" t="str">
        <f t="shared" si="4"/>
        <v/>
      </c>
      <c r="J15" s="6" t="str">
        <f t="shared" si="5"/>
        <v/>
      </c>
      <c r="K15" s="3" t="str">
        <f t="shared" si="1"/>
        <v/>
      </c>
      <c r="L15" s="6" t="str">
        <f t="shared" si="6"/>
        <v/>
      </c>
      <c r="M15" s="6" t="str">
        <f t="shared" si="7"/>
        <v/>
      </c>
      <c r="N15" s="3" t="str">
        <f t="shared" si="2"/>
        <v/>
      </c>
    </row>
    <row r="16" spans="1:14" ht="15.75" customHeight="1">
      <c r="A16" s="4"/>
      <c r="B16" s="4"/>
      <c r="C16" s="4">
        <f t="shared" si="3"/>
        <v>0</v>
      </c>
      <c r="D16" s="4"/>
      <c r="E16" t="s">
        <v>21</v>
      </c>
      <c r="F16">
        <v>112.6</v>
      </c>
      <c r="G16">
        <v>111.1</v>
      </c>
      <c r="H16" s="6">
        <f t="shared" si="0"/>
        <v>223.7</v>
      </c>
      <c r="I16" s="6" t="str">
        <f t="shared" si="4"/>
        <v/>
      </c>
      <c r="J16" s="6" t="str">
        <f t="shared" si="5"/>
        <v/>
      </c>
      <c r="K16" s="3" t="str">
        <f t="shared" si="1"/>
        <v/>
      </c>
      <c r="L16" s="6" t="str">
        <f t="shared" si="6"/>
        <v/>
      </c>
      <c r="M16" s="6" t="str">
        <f t="shared" si="7"/>
        <v/>
      </c>
      <c r="N16" s="3" t="str">
        <f t="shared" si="2"/>
        <v/>
      </c>
    </row>
    <row r="17" spans="1:14" ht="15.75" customHeight="1">
      <c r="A17" s="4"/>
      <c r="B17" s="4"/>
      <c r="C17" s="4">
        <f t="shared" si="3"/>
        <v>0</v>
      </c>
      <c r="D17" s="4"/>
      <c r="E17" t="s">
        <v>38</v>
      </c>
      <c r="F17">
        <v>116</v>
      </c>
      <c r="G17">
        <v>111.2</v>
      </c>
      <c r="H17" s="6">
        <f t="shared" si="0"/>
        <v>227.2</v>
      </c>
      <c r="I17" s="6" t="str">
        <f t="shared" si="4"/>
        <v/>
      </c>
      <c r="J17" s="6" t="str">
        <f t="shared" si="5"/>
        <v/>
      </c>
      <c r="K17" s="3" t="str">
        <f t="shared" si="1"/>
        <v/>
      </c>
      <c r="L17" s="6" t="str">
        <f t="shared" si="6"/>
        <v/>
      </c>
      <c r="M17" s="6" t="str">
        <f t="shared" si="7"/>
        <v/>
      </c>
      <c r="N17" s="3" t="str">
        <f t="shared" si="2"/>
        <v/>
      </c>
    </row>
    <row r="18" spans="1:14" ht="15.75" customHeight="1">
      <c r="A18" s="4"/>
      <c r="B18" s="4"/>
      <c r="C18" s="4">
        <f t="shared" si="3"/>
        <v>0</v>
      </c>
      <c r="D18" s="4"/>
      <c r="E18" t="s">
        <v>22</v>
      </c>
      <c r="F18">
        <v>120.9</v>
      </c>
      <c r="G18">
        <v>118.5</v>
      </c>
      <c r="H18" s="6">
        <f t="shared" si="0"/>
        <v>239.4</v>
      </c>
      <c r="I18" s="6" t="str">
        <f t="shared" si="4"/>
        <v/>
      </c>
      <c r="J18" s="6" t="str">
        <f t="shared" si="5"/>
        <v/>
      </c>
      <c r="K18" s="3" t="str">
        <f t="shared" si="1"/>
        <v/>
      </c>
      <c r="L18" s="6" t="str">
        <f t="shared" si="6"/>
        <v/>
      </c>
      <c r="M18" s="6" t="str">
        <f t="shared" si="7"/>
        <v/>
      </c>
      <c r="N18" s="3" t="str">
        <f t="shared" si="2"/>
        <v/>
      </c>
    </row>
    <row r="19" spans="1:14" ht="15.75" customHeight="1">
      <c r="A19" s="4"/>
      <c r="B19" s="4"/>
      <c r="C19" s="4">
        <f t="shared" si="3"/>
        <v>0</v>
      </c>
      <c r="D19" s="4"/>
      <c r="E19" t="s">
        <v>37</v>
      </c>
      <c r="F19">
        <v>115.5</v>
      </c>
      <c r="G19">
        <v>115.8</v>
      </c>
      <c r="H19" s="6">
        <f t="shared" si="0"/>
        <v>231.3</v>
      </c>
      <c r="I19" s="6" t="str">
        <f t="shared" si="4"/>
        <v/>
      </c>
      <c r="J19" s="6" t="str">
        <f t="shared" si="5"/>
        <v/>
      </c>
      <c r="K19" s="3" t="str">
        <f t="shared" si="1"/>
        <v/>
      </c>
      <c r="L19" s="6" t="str">
        <f t="shared" si="6"/>
        <v/>
      </c>
      <c r="M19" s="6" t="str">
        <f t="shared" si="7"/>
        <v/>
      </c>
      <c r="N19" s="3" t="str">
        <f t="shared" si="2"/>
        <v/>
      </c>
    </row>
    <row r="20" spans="1:14" ht="12.5">
      <c r="A20" s="4"/>
      <c r="B20" s="4"/>
      <c r="C20" s="4">
        <f t="shared" si="3"/>
        <v>0</v>
      </c>
      <c r="D20" s="4"/>
      <c r="E20" t="s">
        <v>195</v>
      </c>
      <c r="F20">
        <v>113.8</v>
      </c>
      <c r="G20">
        <v>112.6</v>
      </c>
      <c r="H20" s="6">
        <f t="shared" si="0"/>
        <v>226.39999999999998</v>
      </c>
      <c r="I20" s="6" t="str">
        <f t="shared" si="4"/>
        <v/>
      </c>
      <c r="J20" s="6" t="str">
        <f t="shared" si="5"/>
        <v/>
      </c>
      <c r="K20" s="3" t="str">
        <f t="shared" si="1"/>
        <v/>
      </c>
      <c r="L20" s="6" t="str">
        <f t="shared" si="6"/>
        <v/>
      </c>
      <c r="M20" s="6" t="str">
        <f t="shared" si="7"/>
        <v/>
      </c>
      <c r="N20" s="3" t="str">
        <f t="shared" si="2"/>
        <v/>
      </c>
    </row>
    <row r="21" spans="1:14" ht="12.5">
      <c r="A21" s="4"/>
      <c r="B21" s="4"/>
      <c r="C21" s="4">
        <f t="shared" si="3"/>
        <v>0</v>
      </c>
      <c r="D21" s="4"/>
      <c r="E21" t="s">
        <v>27</v>
      </c>
      <c r="F21">
        <v>114.6</v>
      </c>
      <c r="G21">
        <v>115.2</v>
      </c>
      <c r="H21" s="6">
        <f t="shared" si="0"/>
        <v>229.8</v>
      </c>
      <c r="I21" s="6" t="str">
        <f t="shared" si="4"/>
        <v/>
      </c>
      <c r="J21" s="6" t="str">
        <f t="shared" si="5"/>
        <v/>
      </c>
      <c r="K21" s="3" t="str">
        <f t="shared" si="1"/>
        <v/>
      </c>
      <c r="L21" s="6" t="str">
        <f t="shared" si="6"/>
        <v/>
      </c>
      <c r="M21" s="6" t="str">
        <f t="shared" si="7"/>
        <v/>
      </c>
      <c r="N21" s="3" t="str">
        <f t="shared" si="2"/>
        <v/>
      </c>
    </row>
    <row r="22" spans="1:14" ht="12.5">
      <c r="A22" s="4"/>
      <c r="B22" s="4"/>
      <c r="C22" s="4">
        <f t="shared" si="3"/>
        <v>0</v>
      </c>
      <c r="D22" s="4"/>
      <c r="E22" t="s">
        <v>16</v>
      </c>
      <c r="F22">
        <v>110.6</v>
      </c>
      <c r="G22">
        <v>116.8</v>
      </c>
      <c r="H22" s="6">
        <f t="shared" si="0"/>
        <v>227.39999999999998</v>
      </c>
      <c r="I22" s="6" t="str">
        <f t="shared" si="4"/>
        <v/>
      </c>
      <c r="J22" s="6" t="str">
        <f t="shared" si="5"/>
        <v/>
      </c>
      <c r="K22" s="3" t="str">
        <f t="shared" si="1"/>
        <v/>
      </c>
      <c r="L22" s="6" t="str">
        <f t="shared" si="6"/>
        <v/>
      </c>
      <c r="M22" s="6" t="str">
        <f t="shared" si="7"/>
        <v/>
      </c>
      <c r="N22" s="3" t="str">
        <f t="shared" si="2"/>
        <v/>
      </c>
    </row>
    <row r="23" spans="1:14" ht="12.5">
      <c r="A23" s="4"/>
      <c r="B23" s="4"/>
      <c r="C23" s="4">
        <f t="shared" si="3"/>
        <v>0</v>
      </c>
      <c r="D23" s="4"/>
      <c r="E23" t="s">
        <v>29</v>
      </c>
      <c r="F23">
        <v>116.3</v>
      </c>
      <c r="G23">
        <v>121.5</v>
      </c>
      <c r="H23" s="6">
        <f t="shared" si="0"/>
        <v>237.8</v>
      </c>
      <c r="I23" s="6" t="str">
        <f t="shared" si="4"/>
        <v/>
      </c>
      <c r="J23" s="6" t="str">
        <f t="shared" si="5"/>
        <v/>
      </c>
      <c r="K23" s="3" t="str">
        <f t="shared" si="1"/>
        <v/>
      </c>
      <c r="L23" s="6" t="str">
        <f t="shared" si="6"/>
        <v/>
      </c>
      <c r="M23" s="6" t="str">
        <f t="shared" si="7"/>
        <v/>
      </c>
      <c r="N23" s="3" t="str">
        <f t="shared" si="2"/>
        <v/>
      </c>
    </row>
    <row r="24" spans="1:14" ht="12.5">
      <c r="A24" s="4"/>
      <c r="B24" s="4"/>
      <c r="C24" s="4">
        <f t="shared" si="3"/>
        <v>0</v>
      </c>
      <c r="D24" s="4"/>
      <c r="E24" t="s">
        <v>18</v>
      </c>
      <c r="F24">
        <v>115.5</v>
      </c>
      <c r="G24">
        <v>120</v>
      </c>
      <c r="H24" s="6">
        <f t="shared" si="0"/>
        <v>235.5</v>
      </c>
      <c r="I24" s="6" t="str">
        <f t="shared" si="4"/>
        <v/>
      </c>
      <c r="J24" s="6" t="str">
        <f t="shared" si="5"/>
        <v/>
      </c>
      <c r="K24" s="7" t="str">
        <f>IF(ISNUMBER(J24),SUM(I24:J24),"")</f>
        <v/>
      </c>
      <c r="L24" s="6" t="str">
        <f t="shared" si="6"/>
        <v/>
      </c>
      <c r="M24" s="6" t="str">
        <f t="shared" si="7"/>
        <v/>
      </c>
      <c r="N24" s="7" t="str">
        <f t="shared" si="2"/>
        <v/>
      </c>
    </row>
    <row r="25" spans="1:14" ht="12.5">
      <c r="C25" s="4">
        <f t="shared" si="3"/>
        <v>0</v>
      </c>
      <c r="D25" s="4"/>
      <c r="E25" t="s">
        <v>26</v>
      </c>
      <c r="F25">
        <v>114.1</v>
      </c>
      <c r="G25">
        <v>119.6</v>
      </c>
      <c r="H25" s="6">
        <f t="shared" si="0"/>
        <v>233.7</v>
      </c>
      <c r="I25" s="6" t="str">
        <f t="shared" si="4"/>
        <v/>
      </c>
      <c r="J25" s="6" t="str">
        <f t="shared" si="5"/>
        <v/>
      </c>
      <c r="K25" s="3" t="str">
        <f t="shared" si="1"/>
        <v/>
      </c>
      <c r="L25" s="6" t="str">
        <f t="shared" si="6"/>
        <v/>
      </c>
      <c r="M25" s="6" t="str">
        <f t="shared" si="7"/>
        <v/>
      </c>
      <c r="N25" s="3" t="str">
        <f t="shared" si="2"/>
        <v/>
      </c>
    </row>
    <row r="26" spans="1:14" ht="12.5">
      <c r="A26" s="4"/>
      <c r="B26" s="4"/>
      <c r="C26" s="4">
        <f t="shared" si="3"/>
        <v>0</v>
      </c>
      <c r="D26" s="4"/>
      <c r="E26" t="s">
        <v>36</v>
      </c>
      <c r="F26">
        <v>114.7</v>
      </c>
      <c r="G26">
        <v>120.7</v>
      </c>
      <c r="H26" s="6">
        <f t="shared" si="0"/>
        <v>235.4</v>
      </c>
      <c r="I26" s="6" t="str">
        <f t="shared" si="4"/>
        <v/>
      </c>
      <c r="J26" s="6" t="str">
        <f t="shared" si="5"/>
        <v/>
      </c>
      <c r="K26" s="3" t="str">
        <f t="shared" si="1"/>
        <v/>
      </c>
      <c r="L26" s="6" t="str">
        <f t="shared" si="6"/>
        <v/>
      </c>
      <c r="M26" s="6" t="str">
        <f t="shared" si="7"/>
        <v/>
      </c>
      <c r="N26" s="3" t="str">
        <f t="shared" si="2"/>
        <v/>
      </c>
    </row>
    <row r="27" spans="1:14" ht="12.5">
      <c r="A27" s="4"/>
      <c r="B27" s="4"/>
      <c r="C27" s="4">
        <f t="shared" si="3"/>
        <v>0</v>
      </c>
      <c r="D27" s="4"/>
      <c r="E27" t="s">
        <v>23</v>
      </c>
      <c r="F27">
        <v>111</v>
      </c>
      <c r="G27">
        <v>121</v>
      </c>
      <c r="H27" s="6">
        <f t="shared" si="0"/>
        <v>232</v>
      </c>
      <c r="I27" s="6" t="str">
        <f t="shared" si="4"/>
        <v/>
      </c>
      <c r="J27" s="6" t="str">
        <f t="shared" si="5"/>
        <v/>
      </c>
      <c r="K27" s="3" t="str">
        <f t="shared" si="1"/>
        <v/>
      </c>
      <c r="L27" s="6" t="str">
        <f t="shared" si="6"/>
        <v/>
      </c>
      <c r="M27" s="6" t="str">
        <f t="shared" si="7"/>
        <v/>
      </c>
      <c r="N27" s="3" t="str">
        <f t="shared" si="2"/>
        <v/>
      </c>
    </row>
    <row r="28" spans="1:14" ht="12.5">
      <c r="A28" s="4"/>
      <c r="B28" s="4"/>
      <c r="C28" s="4">
        <f t="shared" si="3"/>
        <v>0</v>
      </c>
      <c r="D28" s="4"/>
      <c r="E28" t="s">
        <v>31</v>
      </c>
      <c r="F28">
        <v>117.6</v>
      </c>
      <c r="G28">
        <v>126</v>
      </c>
      <c r="H28" s="6">
        <f t="shared" si="0"/>
        <v>243.6</v>
      </c>
      <c r="I28" s="6" t="str">
        <f t="shared" si="4"/>
        <v/>
      </c>
      <c r="J28" s="6" t="str">
        <f t="shared" si="5"/>
        <v/>
      </c>
      <c r="K28" s="3" t="str">
        <f t="shared" si="1"/>
        <v/>
      </c>
      <c r="L28" s="6" t="str">
        <f t="shared" si="6"/>
        <v/>
      </c>
      <c r="M28" s="6" t="str">
        <f t="shared" si="7"/>
        <v/>
      </c>
      <c r="N28" s="3" t="str">
        <f t="shared" si="2"/>
        <v/>
      </c>
    </row>
    <row r="29" spans="1:14" ht="12.5">
      <c r="A29" s="4"/>
      <c r="B29" s="4"/>
      <c r="C29" s="4">
        <f t="shared" si="3"/>
        <v>0</v>
      </c>
      <c r="D29" s="4"/>
      <c r="E29" t="s">
        <v>34</v>
      </c>
      <c r="F29">
        <v>105.9</v>
      </c>
      <c r="G29">
        <v>115.9</v>
      </c>
      <c r="H29" s="6">
        <f t="shared" si="0"/>
        <v>221.8</v>
      </c>
      <c r="I29" s="6" t="str">
        <f t="shared" si="4"/>
        <v/>
      </c>
      <c r="J29" s="6" t="str">
        <f t="shared" si="5"/>
        <v/>
      </c>
      <c r="K29" s="3" t="str">
        <f t="shared" si="1"/>
        <v/>
      </c>
      <c r="L29" s="6" t="str">
        <f t="shared" si="6"/>
        <v/>
      </c>
      <c r="M29" s="6" t="str">
        <f t="shared" si="7"/>
        <v/>
      </c>
      <c r="N29" s="3" t="str">
        <f t="shared" si="2"/>
        <v/>
      </c>
    </row>
    <row r="30" spans="1:14" ht="12.5">
      <c r="A30" s="4"/>
      <c r="B30" s="4"/>
      <c r="C30" s="4">
        <f t="shared" si="3"/>
        <v>0</v>
      </c>
      <c r="D30" s="4"/>
      <c r="E30" t="s">
        <v>25</v>
      </c>
      <c r="F30">
        <v>112.4</v>
      </c>
      <c r="G30">
        <v>120.4</v>
      </c>
      <c r="H30" s="6">
        <f t="shared" si="0"/>
        <v>232.8</v>
      </c>
      <c r="I30" s="6" t="str">
        <f t="shared" si="4"/>
        <v/>
      </c>
      <c r="J30" s="6" t="str">
        <f t="shared" si="5"/>
        <v/>
      </c>
      <c r="K30" s="7" t="str">
        <f t="shared" si="1"/>
        <v/>
      </c>
      <c r="L30" s="6" t="str">
        <f t="shared" si="6"/>
        <v/>
      </c>
      <c r="M30" s="6" t="str">
        <f t="shared" si="7"/>
        <v/>
      </c>
      <c r="N30" s="7" t="str">
        <f t="shared" si="2"/>
        <v/>
      </c>
    </row>
    <row r="31" spans="1:14" ht="12.5">
      <c r="A31" s="4"/>
      <c r="B31" s="4"/>
      <c r="C31" s="4">
        <f t="shared" si="3"/>
        <v>0</v>
      </c>
      <c r="D31" s="4"/>
      <c r="E31" t="s">
        <v>41</v>
      </c>
      <c r="F31">
        <v>112.9</v>
      </c>
      <c r="G31">
        <v>124.9</v>
      </c>
      <c r="H31" s="6">
        <f t="shared" si="0"/>
        <v>237.8</v>
      </c>
      <c r="I31" s="6" t="str">
        <f t="shared" si="4"/>
        <v/>
      </c>
      <c r="J31" s="6" t="str">
        <f t="shared" si="5"/>
        <v/>
      </c>
      <c r="K31" s="3" t="str">
        <f t="shared" si="1"/>
        <v/>
      </c>
      <c r="L31" s="6" t="str">
        <f t="shared" si="6"/>
        <v/>
      </c>
      <c r="M31" s="6" t="str">
        <f t="shared" si="7"/>
        <v/>
      </c>
      <c r="N31" s="3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9792-E182-4309-A1BD-37EB3AD4E3E3}">
  <dimension ref="A3:O33"/>
  <sheetViews>
    <sheetView workbookViewId="0">
      <selection activeCell="A4" sqref="A4:A33"/>
    </sheetView>
  </sheetViews>
  <sheetFormatPr baseColWidth="10" defaultRowHeight="12.5"/>
  <sheetData>
    <row r="3" spans="1:15">
      <c r="C3" t="s">
        <v>51</v>
      </c>
      <c r="D3" t="s">
        <v>49</v>
      </c>
      <c r="E3" t="s">
        <v>82</v>
      </c>
      <c r="F3" t="s">
        <v>83</v>
      </c>
      <c r="G3" t="s">
        <v>84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 t="s">
        <v>90</v>
      </c>
      <c r="N3" t="s">
        <v>50</v>
      </c>
      <c r="O3" t="s">
        <v>91</v>
      </c>
    </row>
    <row r="4" spans="1:15">
      <c r="A4" t="s">
        <v>52</v>
      </c>
      <c r="C4">
        <v>64</v>
      </c>
      <c r="D4">
        <v>18</v>
      </c>
      <c r="E4" t="s">
        <v>92</v>
      </c>
      <c r="F4" t="s">
        <v>93</v>
      </c>
      <c r="G4" t="s">
        <v>94</v>
      </c>
      <c r="H4" s="9">
        <v>46325</v>
      </c>
      <c r="I4" s="9">
        <v>46124</v>
      </c>
      <c r="J4" t="s">
        <v>95</v>
      </c>
      <c r="K4">
        <v>119</v>
      </c>
      <c r="L4">
        <v>107.9</v>
      </c>
      <c r="M4" t="s">
        <v>96</v>
      </c>
      <c r="N4" t="s">
        <v>97</v>
      </c>
      <c r="O4" s="9">
        <v>46088</v>
      </c>
    </row>
    <row r="5" spans="1:15">
      <c r="A5" t="s">
        <v>53</v>
      </c>
      <c r="C5">
        <v>62</v>
      </c>
      <c r="D5">
        <v>20</v>
      </c>
      <c r="E5" t="s">
        <v>98</v>
      </c>
      <c r="F5">
        <v>2</v>
      </c>
      <c r="G5" t="s">
        <v>99</v>
      </c>
      <c r="H5" s="9">
        <v>46385</v>
      </c>
      <c r="I5" s="9">
        <v>46094</v>
      </c>
      <c r="J5" t="s">
        <v>100</v>
      </c>
      <c r="K5">
        <v>119.8</v>
      </c>
      <c r="L5">
        <v>111.5</v>
      </c>
      <c r="M5" t="s">
        <v>101</v>
      </c>
      <c r="N5" t="s">
        <v>102</v>
      </c>
      <c r="O5" s="9">
        <v>46061</v>
      </c>
    </row>
    <row r="6" spans="1:15">
      <c r="A6" t="s">
        <v>54</v>
      </c>
      <c r="C6">
        <v>60</v>
      </c>
      <c r="D6">
        <v>22</v>
      </c>
      <c r="E6" t="s">
        <v>103</v>
      </c>
      <c r="F6">
        <v>4</v>
      </c>
      <c r="G6" t="s">
        <v>104</v>
      </c>
      <c r="H6" t="s">
        <v>105</v>
      </c>
      <c r="I6" s="9">
        <v>46124</v>
      </c>
      <c r="J6" t="s">
        <v>106</v>
      </c>
      <c r="K6">
        <v>117.8</v>
      </c>
      <c r="L6">
        <v>109.6</v>
      </c>
      <c r="M6" t="s">
        <v>107</v>
      </c>
      <c r="N6" t="s">
        <v>108</v>
      </c>
      <c r="O6" s="9">
        <v>46061</v>
      </c>
    </row>
    <row r="7" spans="1:15">
      <c r="A7" t="s">
        <v>55</v>
      </c>
      <c r="C7">
        <v>56</v>
      </c>
      <c r="D7">
        <v>26</v>
      </c>
      <c r="E7" t="s">
        <v>109</v>
      </c>
      <c r="F7">
        <v>8</v>
      </c>
      <c r="G7" s="9">
        <v>46356</v>
      </c>
      <c r="H7" t="s">
        <v>110</v>
      </c>
      <c r="I7" s="9">
        <v>46183</v>
      </c>
      <c r="J7" t="s">
        <v>100</v>
      </c>
      <c r="K7">
        <v>114.9</v>
      </c>
      <c r="L7">
        <v>107.2</v>
      </c>
      <c r="M7" t="s">
        <v>111</v>
      </c>
      <c r="N7" t="s">
        <v>112</v>
      </c>
      <c r="O7" s="9">
        <v>46061</v>
      </c>
    </row>
    <row r="8" spans="1:15">
      <c r="A8" t="s">
        <v>56</v>
      </c>
      <c r="C8">
        <v>54</v>
      </c>
      <c r="D8">
        <v>28</v>
      </c>
      <c r="E8" t="s">
        <v>113</v>
      </c>
      <c r="F8">
        <v>10</v>
      </c>
      <c r="G8" t="s">
        <v>105</v>
      </c>
      <c r="H8" t="s">
        <v>110</v>
      </c>
      <c r="I8" s="9">
        <v>46153</v>
      </c>
      <c r="J8" t="s">
        <v>100</v>
      </c>
      <c r="K8">
        <v>122.1</v>
      </c>
      <c r="L8">
        <v>116.9</v>
      </c>
      <c r="M8" t="s">
        <v>114</v>
      </c>
      <c r="N8" t="s">
        <v>115</v>
      </c>
      <c r="O8" t="s">
        <v>116</v>
      </c>
    </row>
    <row r="9" spans="1:15">
      <c r="A9" t="s">
        <v>57</v>
      </c>
      <c r="C9">
        <v>53</v>
      </c>
      <c r="D9">
        <v>29</v>
      </c>
      <c r="E9" t="s">
        <v>117</v>
      </c>
      <c r="F9">
        <v>11</v>
      </c>
      <c r="G9" t="s">
        <v>105</v>
      </c>
      <c r="H9" t="s">
        <v>118</v>
      </c>
      <c r="I9" s="9">
        <v>46213</v>
      </c>
      <c r="J9" t="s">
        <v>119</v>
      </c>
      <c r="K9">
        <v>116.3</v>
      </c>
      <c r="L9">
        <v>114.6</v>
      </c>
      <c r="M9" t="s">
        <v>120</v>
      </c>
      <c r="N9" t="s">
        <v>108</v>
      </c>
      <c r="O9" s="9">
        <v>46088</v>
      </c>
    </row>
    <row r="10" spans="1:15">
      <c r="A10" t="s">
        <v>58</v>
      </c>
      <c r="C10">
        <v>53</v>
      </c>
      <c r="D10">
        <v>29</v>
      </c>
      <c r="E10" t="s">
        <v>117</v>
      </c>
      <c r="F10">
        <v>11</v>
      </c>
      <c r="G10" s="9">
        <v>46325</v>
      </c>
      <c r="H10" t="s">
        <v>121</v>
      </c>
      <c r="I10" s="9">
        <v>46095</v>
      </c>
      <c r="J10" t="s">
        <v>122</v>
      </c>
      <c r="K10">
        <v>116.5</v>
      </c>
      <c r="L10">
        <v>110.1</v>
      </c>
      <c r="M10" t="s">
        <v>123</v>
      </c>
      <c r="N10" t="s">
        <v>102</v>
      </c>
      <c r="O10" s="9">
        <v>46118</v>
      </c>
    </row>
    <row r="11" spans="1:15">
      <c r="A11" t="s">
        <v>59</v>
      </c>
      <c r="C11">
        <v>52</v>
      </c>
      <c r="D11">
        <v>30</v>
      </c>
      <c r="E11" t="s">
        <v>124</v>
      </c>
      <c r="F11">
        <v>12</v>
      </c>
      <c r="G11" t="s">
        <v>125</v>
      </c>
      <c r="H11" t="s">
        <v>118</v>
      </c>
      <c r="I11" s="9">
        <v>46153</v>
      </c>
      <c r="J11" t="s">
        <v>119</v>
      </c>
      <c r="K11">
        <v>119.5</v>
      </c>
      <c r="L11">
        <v>115.4</v>
      </c>
      <c r="M11" t="s">
        <v>126</v>
      </c>
      <c r="N11" t="s">
        <v>127</v>
      </c>
      <c r="O11" s="9">
        <v>46088</v>
      </c>
    </row>
    <row r="12" spans="1:15">
      <c r="A12" t="s">
        <v>60</v>
      </c>
      <c r="C12">
        <v>52</v>
      </c>
      <c r="D12">
        <v>30</v>
      </c>
      <c r="E12" t="s">
        <v>124</v>
      </c>
      <c r="F12">
        <v>12</v>
      </c>
      <c r="G12" s="9">
        <v>46356</v>
      </c>
      <c r="H12" t="s">
        <v>121</v>
      </c>
      <c r="I12" s="9">
        <v>46183</v>
      </c>
      <c r="J12" t="s">
        <v>128</v>
      </c>
      <c r="K12">
        <v>115.2</v>
      </c>
      <c r="L12">
        <v>110</v>
      </c>
      <c r="M12" t="s">
        <v>114</v>
      </c>
      <c r="N12" t="s">
        <v>127</v>
      </c>
      <c r="O12" s="9">
        <v>46031</v>
      </c>
    </row>
    <row r="13" spans="1:15">
      <c r="A13" t="s">
        <v>61</v>
      </c>
      <c r="C13">
        <v>49</v>
      </c>
      <c r="D13">
        <v>33</v>
      </c>
      <c r="E13" t="s">
        <v>129</v>
      </c>
      <c r="F13">
        <v>15</v>
      </c>
      <c r="G13" t="s">
        <v>110</v>
      </c>
      <c r="H13" t="s">
        <v>130</v>
      </c>
      <c r="I13" s="9">
        <v>46212</v>
      </c>
      <c r="J13" t="s">
        <v>131</v>
      </c>
      <c r="K13">
        <v>118</v>
      </c>
      <c r="L13">
        <v>114.6</v>
      </c>
      <c r="M13" t="s">
        <v>132</v>
      </c>
      <c r="N13" t="s">
        <v>112</v>
      </c>
      <c r="O13" s="9">
        <v>46147</v>
      </c>
    </row>
    <row r="14" spans="1:15">
      <c r="A14" t="s">
        <v>62</v>
      </c>
      <c r="C14">
        <v>46</v>
      </c>
      <c r="D14">
        <v>36</v>
      </c>
      <c r="E14" t="s">
        <v>133</v>
      </c>
      <c r="F14">
        <v>18</v>
      </c>
      <c r="G14" t="s">
        <v>134</v>
      </c>
      <c r="H14" t="s">
        <v>121</v>
      </c>
      <c r="I14" s="9">
        <v>46212</v>
      </c>
      <c r="J14" t="s">
        <v>135</v>
      </c>
      <c r="K14">
        <v>118.5</v>
      </c>
      <c r="L14">
        <v>116</v>
      </c>
      <c r="M14" t="s">
        <v>136</v>
      </c>
      <c r="N14" t="s">
        <v>102</v>
      </c>
      <c r="O14" s="9">
        <v>46118</v>
      </c>
    </row>
    <row r="15" spans="1:15">
      <c r="A15" t="s">
        <v>63</v>
      </c>
      <c r="C15">
        <v>46</v>
      </c>
      <c r="D15">
        <v>36</v>
      </c>
      <c r="E15" t="s">
        <v>133</v>
      </c>
      <c r="F15">
        <v>18</v>
      </c>
      <c r="G15" t="s">
        <v>134</v>
      </c>
      <c r="H15" t="s">
        <v>121</v>
      </c>
      <c r="I15" s="9">
        <v>46361</v>
      </c>
      <c r="J15" t="s">
        <v>119</v>
      </c>
      <c r="K15">
        <v>114.6</v>
      </c>
      <c r="L15">
        <v>111.8</v>
      </c>
      <c r="M15" t="s">
        <v>137</v>
      </c>
      <c r="N15" t="s">
        <v>127</v>
      </c>
      <c r="O15" s="9">
        <v>46118</v>
      </c>
    </row>
    <row r="16" spans="1:15">
      <c r="A16" t="s">
        <v>64</v>
      </c>
      <c r="C16">
        <v>45</v>
      </c>
      <c r="D16">
        <v>37</v>
      </c>
      <c r="E16" t="s">
        <v>138</v>
      </c>
      <c r="F16">
        <v>19</v>
      </c>
      <c r="G16" t="s">
        <v>130</v>
      </c>
      <c r="H16" t="s">
        <v>121</v>
      </c>
      <c r="I16" s="9">
        <v>46212</v>
      </c>
      <c r="J16" t="s">
        <v>135</v>
      </c>
      <c r="K16">
        <v>115.9</v>
      </c>
      <c r="L16">
        <v>116.1</v>
      </c>
      <c r="M16" t="s">
        <v>139</v>
      </c>
      <c r="N16" t="s">
        <v>112</v>
      </c>
      <c r="O16" s="9">
        <v>46118</v>
      </c>
    </row>
    <row r="17" spans="1:15">
      <c r="A17" t="s">
        <v>65</v>
      </c>
      <c r="C17">
        <v>45</v>
      </c>
      <c r="D17">
        <v>37</v>
      </c>
      <c r="E17" t="s">
        <v>138</v>
      </c>
      <c r="F17">
        <v>19</v>
      </c>
      <c r="G17" t="s">
        <v>140</v>
      </c>
      <c r="H17" t="s">
        <v>141</v>
      </c>
      <c r="I17" s="9">
        <v>46243</v>
      </c>
      <c r="J17" t="s">
        <v>142</v>
      </c>
      <c r="K17">
        <v>115.7</v>
      </c>
      <c r="L17">
        <v>115.1</v>
      </c>
      <c r="M17" t="s">
        <v>143</v>
      </c>
      <c r="N17" t="s">
        <v>102</v>
      </c>
      <c r="O17" s="9">
        <v>46088</v>
      </c>
    </row>
    <row r="18" spans="1:15">
      <c r="A18" t="s">
        <v>66</v>
      </c>
      <c r="C18">
        <v>45</v>
      </c>
      <c r="D18">
        <v>37</v>
      </c>
      <c r="E18" t="s">
        <v>138</v>
      </c>
      <c r="F18">
        <v>19</v>
      </c>
      <c r="G18" t="s">
        <v>118</v>
      </c>
      <c r="H18" t="s">
        <v>144</v>
      </c>
      <c r="I18" s="9">
        <v>46213</v>
      </c>
      <c r="J18" t="s">
        <v>128</v>
      </c>
      <c r="K18">
        <v>112.6</v>
      </c>
      <c r="L18">
        <v>111.1</v>
      </c>
      <c r="M18" t="s">
        <v>145</v>
      </c>
      <c r="N18" t="s">
        <v>127</v>
      </c>
      <c r="O18" s="9">
        <v>46147</v>
      </c>
    </row>
    <row r="19" spans="1:15">
      <c r="A19" t="s">
        <v>67</v>
      </c>
      <c r="C19">
        <v>44</v>
      </c>
      <c r="D19">
        <v>38</v>
      </c>
      <c r="E19" t="s">
        <v>146</v>
      </c>
      <c r="F19">
        <v>20</v>
      </c>
      <c r="G19" t="s">
        <v>147</v>
      </c>
      <c r="H19" t="s">
        <v>130</v>
      </c>
      <c r="I19" s="9">
        <v>46153</v>
      </c>
      <c r="J19" t="s">
        <v>142</v>
      </c>
      <c r="K19">
        <v>116</v>
      </c>
      <c r="L19">
        <v>111.2</v>
      </c>
      <c r="M19" t="s">
        <v>148</v>
      </c>
      <c r="N19" t="s">
        <v>127</v>
      </c>
      <c r="O19" s="9">
        <v>46118</v>
      </c>
    </row>
    <row r="20" spans="1:15">
      <c r="A20" t="s">
        <v>68</v>
      </c>
      <c r="C20">
        <v>43</v>
      </c>
      <c r="D20">
        <v>39</v>
      </c>
      <c r="E20" t="s">
        <v>149</v>
      </c>
      <c r="F20">
        <v>21</v>
      </c>
      <c r="G20" t="s">
        <v>110</v>
      </c>
      <c r="H20" t="s">
        <v>150</v>
      </c>
      <c r="I20" s="9">
        <v>46213</v>
      </c>
      <c r="J20" t="s">
        <v>135</v>
      </c>
      <c r="K20">
        <v>120.9</v>
      </c>
      <c r="L20">
        <v>118.5</v>
      </c>
      <c r="M20" t="s">
        <v>151</v>
      </c>
      <c r="N20" t="s">
        <v>112</v>
      </c>
      <c r="O20" s="9">
        <v>46147</v>
      </c>
    </row>
    <row r="21" spans="1:15">
      <c r="A21" t="s">
        <v>69</v>
      </c>
      <c r="C21">
        <v>42</v>
      </c>
      <c r="D21">
        <v>40</v>
      </c>
      <c r="E21" t="s">
        <v>152</v>
      </c>
      <c r="F21">
        <v>22</v>
      </c>
      <c r="G21" t="s">
        <v>134</v>
      </c>
      <c r="H21" t="s">
        <v>153</v>
      </c>
      <c r="I21" s="9">
        <v>46272</v>
      </c>
      <c r="J21" t="s">
        <v>128</v>
      </c>
      <c r="K21">
        <v>115.5</v>
      </c>
      <c r="L21">
        <v>115.8</v>
      </c>
      <c r="M21" t="s">
        <v>154</v>
      </c>
      <c r="N21" t="s">
        <v>112</v>
      </c>
      <c r="O21" s="9">
        <v>46088</v>
      </c>
    </row>
    <row r="22" spans="1:15">
      <c r="A22" t="s">
        <v>70</v>
      </c>
      <c r="C22">
        <v>42</v>
      </c>
      <c r="D22">
        <v>40</v>
      </c>
      <c r="E22" t="s">
        <v>152</v>
      </c>
      <c r="F22">
        <v>22</v>
      </c>
      <c r="G22" t="s">
        <v>130</v>
      </c>
      <c r="H22" t="s">
        <v>155</v>
      </c>
      <c r="I22" s="9">
        <v>46183</v>
      </c>
      <c r="J22" t="s">
        <v>156</v>
      </c>
      <c r="K22">
        <v>113.8</v>
      </c>
      <c r="L22">
        <v>112.6</v>
      </c>
      <c r="M22" t="s">
        <v>157</v>
      </c>
      <c r="N22" t="s">
        <v>127</v>
      </c>
      <c r="O22" s="9">
        <v>46118</v>
      </c>
    </row>
    <row r="23" spans="1:15">
      <c r="A23" t="s">
        <v>71</v>
      </c>
      <c r="C23">
        <v>37</v>
      </c>
      <c r="D23">
        <v>45</v>
      </c>
      <c r="E23" t="s">
        <v>158</v>
      </c>
      <c r="F23">
        <v>27</v>
      </c>
      <c r="G23" t="s">
        <v>121</v>
      </c>
      <c r="H23" t="s">
        <v>159</v>
      </c>
      <c r="I23" s="9">
        <v>46272</v>
      </c>
      <c r="J23" t="s">
        <v>160</v>
      </c>
      <c r="K23">
        <v>114.6</v>
      </c>
      <c r="L23">
        <v>115.2</v>
      </c>
      <c r="M23" t="s">
        <v>161</v>
      </c>
      <c r="N23" t="s">
        <v>162</v>
      </c>
      <c r="O23" s="9">
        <v>46206</v>
      </c>
    </row>
    <row r="24" spans="1:15">
      <c r="A24" t="s">
        <v>72</v>
      </c>
      <c r="C24">
        <v>32</v>
      </c>
      <c r="D24">
        <v>50</v>
      </c>
      <c r="E24" t="s">
        <v>163</v>
      </c>
      <c r="F24">
        <v>32</v>
      </c>
      <c r="G24" t="s">
        <v>155</v>
      </c>
      <c r="H24" t="s">
        <v>164</v>
      </c>
      <c r="I24" s="9">
        <v>46212</v>
      </c>
      <c r="J24" t="s">
        <v>165</v>
      </c>
      <c r="K24">
        <v>110.6</v>
      </c>
      <c r="L24">
        <v>116.8</v>
      </c>
      <c r="M24" t="s">
        <v>166</v>
      </c>
      <c r="N24" t="s">
        <v>102</v>
      </c>
      <c r="O24" s="9">
        <v>46206</v>
      </c>
    </row>
    <row r="25" spans="1:15">
      <c r="A25" t="s">
        <v>73</v>
      </c>
      <c r="C25">
        <v>31</v>
      </c>
      <c r="D25">
        <v>51</v>
      </c>
      <c r="E25" t="s">
        <v>167</v>
      </c>
      <c r="F25">
        <v>33</v>
      </c>
      <c r="G25" t="s">
        <v>153</v>
      </c>
      <c r="H25" t="s">
        <v>164</v>
      </c>
      <c r="I25" s="9">
        <v>46360</v>
      </c>
      <c r="J25" t="s">
        <v>168</v>
      </c>
      <c r="K25">
        <v>116.3</v>
      </c>
      <c r="L25">
        <v>121.5</v>
      </c>
      <c r="M25" t="s">
        <v>169</v>
      </c>
      <c r="N25" t="s">
        <v>97</v>
      </c>
      <c r="O25" s="9">
        <v>46236</v>
      </c>
    </row>
    <row r="26" spans="1:15">
      <c r="A26" t="s">
        <v>74</v>
      </c>
      <c r="C26">
        <v>26</v>
      </c>
      <c r="D26">
        <v>56</v>
      </c>
      <c r="E26" t="s">
        <v>170</v>
      </c>
      <c r="F26">
        <v>38</v>
      </c>
      <c r="G26" t="s">
        <v>150</v>
      </c>
      <c r="H26" s="10">
        <v>11933</v>
      </c>
      <c r="I26" s="9">
        <v>46272</v>
      </c>
      <c r="J26" t="s">
        <v>171</v>
      </c>
      <c r="K26">
        <v>115.5</v>
      </c>
      <c r="L26">
        <v>120</v>
      </c>
      <c r="M26" t="s">
        <v>172</v>
      </c>
      <c r="N26" t="s">
        <v>97</v>
      </c>
      <c r="O26" s="9">
        <v>46266</v>
      </c>
    </row>
    <row r="27" spans="1:15">
      <c r="A27" t="s">
        <v>75</v>
      </c>
      <c r="C27">
        <v>26</v>
      </c>
      <c r="D27">
        <v>56</v>
      </c>
      <c r="E27" t="s">
        <v>170</v>
      </c>
      <c r="F27">
        <v>38</v>
      </c>
      <c r="G27" t="s">
        <v>173</v>
      </c>
      <c r="H27" s="10">
        <v>11232</v>
      </c>
      <c r="I27" s="9">
        <v>46360</v>
      </c>
      <c r="J27" t="s">
        <v>174</v>
      </c>
      <c r="K27">
        <v>114.1</v>
      </c>
      <c r="L27">
        <v>119.6</v>
      </c>
      <c r="M27" t="s">
        <v>175</v>
      </c>
      <c r="N27" t="s">
        <v>127</v>
      </c>
      <c r="O27" s="9">
        <v>46206</v>
      </c>
    </row>
    <row r="28" spans="1:15">
      <c r="A28" t="s">
        <v>76</v>
      </c>
      <c r="C28">
        <v>25</v>
      </c>
      <c r="D28">
        <v>57</v>
      </c>
      <c r="E28" t="s">
        <v>176</v>
      </c>
      <c r="F28">
        <v>39</v>
      </c>
      <c r="G28" t="s">
        <v>177</v>
      </c>
      <c r="H28" s="10">
        <v>47423</v>
      </c>
      <c r="I28" s="9">
        <v>46301</v>
      </c>
      <c r="J28" t="s">
        <v>178</v>
      </c>
      <c r="K28">
        <v>114.7</v>
      </c>
      <c r="L28">
        <v>120.7</v>
      </c>
      <c r="M28" t="s">
        <v>179</v>
      </c>
      <c r="N28" t="s">
        <v>180</v>
      </c>
      <c r="O28" s="9">
        <v>46266</v>
      </c>
    </row>
    <row r="29" spans="1:15">
      <c r="A29" t="s">
        <v>77</v>
      </c>
      <c r="C29">
        <v>22</v>
      </c>
      <c r="D29">
        <v>60</v>
      </c>
      <c r="E29" t="s">
        <v>181</v>
      </c>
      <c r="F29">
        <v>42</v>
      </c>
      <c r="G29" t="s">
        <v>159</v>
      </c>
      <c r="H29" s="10">
        <v>12601</v>
      </c>
      <c r="I29" s="9">
        <v>46360</v>
      </c>
      <c r="J29" t="s">
        <v>182</v>
      </c>
      <c r="K29">
        <v>111</v>
      </c>
      <c r="L29">
        <v>121</v>
      </c>
      <c r="M29" t="s">
        <v>183</v>
      </c>
      <c r="N29" t="s">
        <v>102</v>
      </c>
      <c r="O29" s="9">
        <v>46206</v>
      </c>
    </row>
    <row r="30" spans="1:15">
      <c r="A30" t="s">
        <v>78</v>
      </c>
      <c r="C30">
        <v>22</v>
      </c>
      <c r="D30">
        <v>60</v>
      </c>
      <c r="E30" t="s">
        <v>181</v>
      </c>
      <c r="F30">
        <v>42</v>
      </c>
      <c r="G30" t="s">
        <v>184</v>
      </c>
      <c r="H30" s="10">
        <v>12267</v>
      </c>
      <c r="I30" s="10">
        <v>42005</v>
      </c>
      <c r="J30" s="10">
        <v>14946</v>
      </c>
      <c r="K30">
        <v>117.6</v>
      </c>
      <c r="L30">
        <v>126</v>
      </c>
      <c r="M30" t="s">
        <v>185</v>
      </c>
      <c r="N30" t="s">
        <v>102</v>
      </c>
      <c r="O30" s="9">
        <v>46266</v>
      </c>
    </row>
    <row r="31" spans="1:15">
      <c r="A31" t="s">
        <v>79</v>
      </c>
      <c r="C31">
        <v>20</v>
      </c>
      <c r="D31">
        <v>62</v>
      </c>
      <c r="E31" t="s">
        <v>186</v>
      </c>
      <c r="F31">
        <v>44</v>
      </c>
      <c r="G31" s="10">
        <v>47453</v>
      </c>
      <c r="H31" s="10">
        <v>12267</v>
      </c>
      <c r="I31" s="10">
        <v>41334</v>
      </c>
      <c r="J31" t="s">
        <v>174</v>
      </c>
      <c r="K31">
        <v>105.9</v>
      </c>
      <c r="L31">
        <v>115.9</v>
      </c>
      <c r="M31" t="s">
        <v>183</v>
      </c>
      <c r="N31" t="s">
        <v>162</v>
      </c>
      <c r="O31" s="9">
        <v>46206</v>
      </c>
    </row>
    <row r="32" spans="1:15">
      <c r="A32" t="s">
        <v>80</v>
      </c>
      <c r="C32">
        <v>19</v>
      </c>
      <c r="D32">
        <v>63</v>
      </c>
      <c r="E32" t="s">
        <v>187</v>
      </c>
      <c r="F32">
        <v>45</v>
      </c>
      <c r="G32" s="10">
        <v>11263</v>
      </c>
      <c r="H32" s="10">
        <v>12267</v>
      </c>
      <c r="I32" s="9">
        <v>46360</v>
      </c>
      <c r="J32" t="s">
        <v>188</v>
      </c>
      <c r="K32">
        <v>112.4</v>
      </c>
      <c r="L32">
        <v>120.4</v>
      </c>
      <c r="M32" t="s">
        <v>189</v>
      </c>
      <c r="N32" t="s">
        <v>97</v>
      </c>
      <c r="O32" s="9">
        <v>46206</v>
      </c>
    </row>
    <row r="33" spans="1:15">
      <c r="A33" t="s">
        <v>81</v>
      </c>
      <c r="C33">
        <v>17</v>
      </c>
      <c r="D33">
        <v>65</v>
      </c>
      <c r="E33" t="s">
        <v>190</v>
      </c>
      <c r="F33">
        <v>47</v>
      </c>
      <c r="G33" s="10">
        <v>11263</v>
      </c>
      <c r="H33" s="10">
        <v>12936</v>
      </c>
      <c r="I33" s="10">
        <v>41671</v>
      </c>
      <c r="J33" s="10">
        <v>15281</v>
      </c>
      <c r="K33">
        <v>112.9</v>
      </c>
      <c r="L33">
        <v>124.9</v>
      </c>
      <c r="M33" t="s">
        <v>191</v>
      </c>
      <c r="N33" t="s">
        <v>192</v>
      </c>
      <c r="O33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3" sqref="D3"/>
    </sheetView>
  </sheetViews>
  <sheetFormatPr baseColWidth="10" defaultColWidth="12.54296875" defaultRowHeight="15.75" customHeight="1"/>
  <sheetData>
    <row r="1" spans="1:26" ht="15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8</v>
      </c>
      <c r="I1" s="8" t="s">
        <v>9</v>
      </c>
      <c r="J1" s="8" t="s">
        <v>10</v>
      </c>
      <c r="K1" s="8"/>
      <c r="L1" s="8"/>
      <c r="M1" s="8" t="s">
        <v>11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>
        <v>112</v>
      </c>
      <c r="B2" s="8">
        <v>107</v>
      </c>
      <c r="C2" s="8">
        <v>219</v>
      </c>
      <c r="D2" s="8" t="s">
        <v>33</v>
      </c>
      <c r="E2" s="8" t="s">
        <v>34</v>
      </c>
      <c r="F2" s="8">
        <v>112</v>
      </c>
      <c r="G2" s="8">
        <v>114.1</v>
      </c>
      <c r="H2" s="8">
        <v>108</v>
      </c>
      <c r="I2" s="8">
        <v>111.38888888888889</v>
      </c>
      <c r="J2" s="8">
        <v>219.38888888888889</v>
      </c>
      <c r="K2" s="8">
        <v>116</v>
      </c>
      <c r="L2" s="8">
        <v>116.8111111111111</v>
      </c>
      <c r="M2" s="8">
        <v>232.8111111111111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>
        <v>110</v>
      </c>
      <c r="B3" s="8">
        <v>118</v>
      </c>
      <c r="C3" s="8">
        <v>228</v>
      </c>
      <c r="D3" s="8" t="s">
        <v>39</v>
      </c>
      <c r="E3" s="8" t="s">
        <v>40</v>
      </c>
      <c r="F3" s="8">
        <v>112.1</v>
      </c>
      <c r="G3" s="8">
        <v>121</v>
      </c>
      <c r="H3" s="8">
        <v>110.72222222222221</v>
      </c>
      <c r="I3" s="8">
        <v>117.66666666666667</v>
      </c>
      <c r="J3" s="8">
        <v>228.38888888888889</v>
      </c>
      <c r="K3" s="8">
        <v>113.47777777777777</v>
      </c>
      <c r="L3" s="8">
        <v>124.33333333333333</v>
      </c>
      <c r="M3" s="8">
        <v>237.8111111111111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54296875" defaultRowHeight="15.75" customHeight="1"/>
  <sheetData>
    <row r="1" spans="1:26" ht="15.75" customHeight="1">
      <c r="A1" s="8" t="s">
        <v>42</v>
      </c>
      <c r="B1" s="8" t="s">
        <v>43</v>
      </c>
      <c r="C1" s="8" t="s">
        <v>44</v>
      </c>
      <c r="D1" s="8" t="s">
        <v>45</v>
      </c>
      <c r="E1" s="8" t="s">
        <v>5</v>
      </c>
      <c r="F1" s="8"/>
      <c r="G1" s="8"/>
      <c r="H1" s="8" t="s">
        <v>46</v>
      </c>
      <c r="I1" s="8" t="s">
        <v>47</v>
      </c>
      <c r="J1" s="8" t="s">
        <v>48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Hoja1</vt:lpstr>
      <vt:lpstr>07032024</vt:lpstr>
      <vt:lpstr>06032024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MASCARELL MARTINEZ, SAMUEL</cp:lastModifiedBy>
  <dcterms:modified xsi:type="dcterms:W3CDTF">2026-10-15T06:20:32Z</dcterms:modified>
</cp:coreProperties>
</file>